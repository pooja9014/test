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Sheet2" sheetId="2" r:id="rId1"/>
    <sheet name="Sheet3" sheetId="3" r:id="rId2"/>
    <sheet name="Sheet1" sheetId="1" r:id="rId3"/>
  </sheets>
  <definedNames>
    <definedName name="solver_adj" localSheetId="1" hidden="1">Sheet3!$D$43:$D$44,Sheet3!$D$48</definedName>
    <definedName name="solver_cvg" localSheetId="1" hidden="1">0.0001</definedName>
    <definedName name="solver_drv" localSheetId="1" hidden="1">1</definedName>
    <definedName name="solver_eng" localSheetId="2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Sheet3!$D$43</definedName>
    <definedName name="solver_lhs2" localSheetId="1" hidden="1">Sheet3!$D$44</definedName>
    <definedName name="solver_lhs3" localSheetId="1" hidden="1">Sheet3!$C$44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2" hidden="1">1</definedName>
    <definedName name="solver_neg" localSheetId="1" hidden="1">1</definedName>
    <definedName name="solver_nod" localSheetId="1" hidden="1">2147483647</definedName>
    <definedName name="solver_num" localSheetId="2" hidden="1">0</definedName>
    <definedName name="solver_num" localSheetId="1" hidden="1">2</definedName>
    <definedName name="solver_nwt" localSheetId="1" hidden="1">1</definedName>
    <definedName name="solver_opt" localSheetId="1" hidden="1">Sheet3!$E$49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el3" localSheetId="1" hidden="1">2</definedName>
    <definedName name="solver_rhs1" localSheetId="1" hidden="1">Sheet3!$H$45</definedName>
    <definedName name="solver_rhs2" localSheetId="1" hidden="1">Sheet3!$H$46</definedName>
    <definedName name="solver_rhs3" localSheetId="1" hidden="1">Sheet3!$H$46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2" hidden="1">1</definedName>
    <definedName name="solver_typ" localSheetId="1" hidden="1">3</definedName>
    <definedName name="solver_val" localSheetId="2" hidden="1">0</definedName>
    <definedName name="solver_val" localSheetId="1" hidden="1">0.33</definedName>
    <definedName name="solver_ver" localSheetId="2" hidden="1">3</definedName>
    <definedName name="solver_ver" localSheetId="1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3" l="1"/>
  <c r="K36" i="3" s="1"/>
  <c r="N30" i="3"/>
  <c r="K28" i="3"/>
</calcChain>
</file>

<file path=xl/sharedStrings.xml><?xml version="1.0" encoding="utf-8"?>
<sst xmlns="http://schemas.openxmlformats.org/spreadsheetml/2006/main" count="104" uniqueCount="52">
  <si>
    <t>price</t>
  </si>
  <si>
    <t>budget</t>
  </si>
  <si>
    <t>sales</t>
  </si>
  <si>
    <t>Column1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</si>
  <si>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</si>
  <si>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</si>
  <si>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</si>
  <si>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</si>
  <si>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</si>
  <si>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</si>
  <si>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</si>
  <si>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</si>
  <si>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</si>
  <si>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</si>
  <si>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</si>
  <si>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</si>
  <si>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</si>
  <si>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</si>
  <si>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</si>
  <si>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</si>
  <si>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</si>
  <si>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</si>
  <si>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</si>
  <si>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</si>
  <si>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</si>
  <si>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</si>
  <si>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</si>
  <si>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</si>
  <si>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</si>
  <si>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</si>
  <si>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90</t>
  </si>
  <si>
    <t>Residuals</t>
  </si>
  <si>
    <t xml:space="preserve"> </t>
  </si>
  <si>
    <t>Predicted sales</t>
  </si>
  <si>
    <t>cost per unit</t>
  </si>
  <si>
    <t>profit</t>
  </si>
  <si>
    <t>&lt;300</t>
  </si>
  <si>
    <t>&gt;100</t>
  </si>
  <si>
    <t>&lt;1000</t>
  </si>
  <si>
    <t>Subject</t>
  </si>
  <si>
    <t>Out of</t>
  </si>
  <si>
    <t>Marks</t>
  </si>
  <si>
    <t>Percentage</t>
  </si>
  <si>
    <t>Hindi</t>
  </si>
  <si>
    <t>Eng</t>
  </si>
  <si>
    <t>Math</t>
  </si>
  <si>
    <t>SSI</t>
  </si>
  <si>
    <t>Science</t>
  </si>
  <si>
    <t>Sanskrit</t>
  </si>
  <si>
    <t>Computer</t>
  </si>
  <si>
    <t>Constraint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</si>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</sst>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0" fillId="2" borderId="0" xfId="0" applyFill="1"/>
    <xf numFmtId="9" fontId="0" fillId="0" borderId="0" xfId="0" applyNumberFormat="1"/>
    <xf numFmtId="0" fontId="1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3" displayName="Table13" ref="A2:D13" totalsRowShown="0" headerRowDxfId="5" dataDxfId="4">
  <autoFilter ref="A2:D13"/>
  <tableColumns count="4">
    <tableColumn id="1" name="price" dataDxfId="3"/>
    <tableColumn id="2" name="budget" dataDxfId="2"/>
    <tableColumn id="3" name="sales" dataDxfId="1"/>
    <tableColumn id="4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G14" sqref="G14"/>
    </sheetView>
  </sheetViews>
  <sheetFormatPr defaultRowHeight="15" x14ac:dyDescent="0.25"/>
  <sheetData>
    <row r="1" spans="1:9" x14ac:dyDescent="0.25">
      <c r="A1" t="s">
        <v>4</v>
      </c>
    </row>
    <row r="2" spans="1:9" ht="15.75" thickBot="1" x14ac:dyDescent="0.3"/>
    <row r="3" spans="1:9" x14ac:dyDescent="0.25">
      <c r="A3" s="8" t="s">
        <v>5</v>
      </c>
      <c r="B3" s="8"/>
    </row>
    <row r="4" spans="1:9" x14ac:dyDescent="0.25">
      <c r="A4" s="5" t="s">
        <v>6</v>
      </c>
      <c r="B4" s="5">
        <v>0.91135102999988604</v>
      </c>
    </row>
    <row r="5" spans="1:9" x14ac:dyDescent="0.25">
      <c r="A5" s="5" t="s">
        <v>7</v>
      </c>
      <c r="B5" s="5">
        <v>0.83056069988185321</v>
      </c>
    </row>
    <row r="6" spans="1:9" x14ac:dyDescent="0.25">
      <c r="A6" s="5" t="s">
        <v>8</v>
      </c>
      <c r="B6" s="5">
        <v>0.78214947127666845</v>
      </c>
    </row>
    <row r="7" spans="1:9" x14ac:dyDescent="0.25">
      <c r="A7" s="5" t="s">
        <v>9</v>
      </c>
      <c r="B7" s="5">
        <v>140.54878077095736</v>
      </c>
    </row>
    <row r="8" spans="1:9" ht="15.75" thickBot="1" x14ac:dyDescent="0.3">
      <c r="A8" s="6" t="s">
        <v>10</v>
      </c>
      <c r="B8" s="6">
        <v>10</v>
      </c>
    </row>
    <row r="10" spans="1:9" ht="15.75" thickBot="1" x14ac:dyDescent="0.3">
      <c r="A10" t="s">
        <v>11</v>
      </c>
    </row>
    <row r="11" spans="1:9" x14ac:dyDescent="0.25">
      <c r="A11" s="7"/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1:9" x14ac:dyDescent="0.25">
      <c r="A12" s="5" t="s">
        <v>12</v>
      </c>
      <c r="B12" s="5">
        <v>2</v>
      </c>
      <c r="C12" s="5">
        <v>677812.28156658157</v>
      </c>
      <c r="D12" s="5">
        <v>338906.14078329079</v>
      </c>
      <c r="E12" s="5">
        <v>17.156364831296614</v>
      </c>
      <c r="F12" s="5">
        <v>2.002393934559425E-3</v>
      </c>
    </row>
    <row r="13" spans="1:9" x14ac:dyDescent="0.25">
      <c r="A13" s="5" t="s">
        <v>13</v>
      </c>
      <c r="B13" s="5">
        <v>7</v>
      </c>
      <c r="C13" s="5">
        <v>138277.71843341846</v>
      </c>
      <c r="D13" s="5">
        <v>19753.959776202635</v>
      </c>
      <c r="E13" s="5"/>
      <c r="F13" s="5"/>
    </row>
    <row r="14" spans="1:9" ht="15.75" thickBot="1" x14ac:dyDescent="0.3">
      <c r="A14" s="6" t="s">
        <v>14</v>
      </c>
      <c r="B14" s="6">
        <v>9</v>
      </c>
      <c r="C14" s="6">
        <v>816090</v>
      </c>
      <c r="D14" s="6"/>
      <c r="E14" s="6"/>
      <c r="F14" s="6"/>
    </row>
    <row r="15" spans="1:9" ht="15.75" thickBot="1" x14ac:dyDescent="0.3"/>
    <row r="16" spans="1:9" x14ac:dyDescent="0.25">
      <c r="A16" s="7"/>
      <c r="B16" s="7" t="s">
        <v>21</v>
      </c>
      <c r="C16" s="7" t="s">
        <v>9</v>
      </c>
      <c r="D16" s="7" t="s">
        <v>22</v>
      </c>
      <c r="E16" s="7" t="s">
        <v>23</v>
      </c>
      <c r="F16" s="7" t="s">
        <v>24</v>
      </c>
      <c r="G16" s="7" t="s">
        <v>25</v>
      </c>
      <c r="H16" s="7" t="s">
        <v>26</v>
      </c>
      <c r="I16" s="7" t="s">
        <v>27</v>
      </c>
    </row>
    <row r="17" spans="1:9" x14ac:dyDescent="0.25">
      <c r="A17" s="5" t="s">
        <v>15</v>
      </c>
      <c r="B17" s="5">
        <v>305.89804119657981</v>
      </c>
      <c r="C17" s="5">
        <v>76.050305232162344</v>
      </c>
      <c r="D17" s="5">
        <v>4.022311814038753</v>
      </c>
      <c r="E17" s="5">
        <v>5.0447763000012929E-3</v>
      </c>
      <c r="F17" s="5">
        <v>126.06764510357507</v>
      </c>
      <c r="G17" s="5">
        <v>485.72843728958458</v>
      </c>
      <c r="H17" s="5">
        <v>126.06764510357507</v>
      </c>
      <c r="I17" s="5">
        <v>485.72843728958458</v>
      </c>
    </row>
    <row r="18" spans="1:9" x14ac:dyDescent="0.25">
      <c r="A18" s="5">
        <v>10</v>
      </c>
      <c r="B18" s="5">
        <v>1.2994118050817787</v>
      </c>
      <c r="C18" s="5">
        <v>0.886876641022462</v>
      </c>
      <c r="D18" s="5">
        <v>1.4651550677709961</v>
      </c>
      <c r="E18" s="5">
        <v>0.18629882815344762</v>
      </c>
      <c r="F18" s="5">
        <v>-0.79771820845108365</v>
      </c>
      <c r="G18" s="5">
        <v>3.396541818614641</v>
      </c>
      <c r="H18" s="5">
        <v>-0.79771820845108365</v>
      </c>
      <c r="I18" s="5">
        <v>3.396541818614641</v>
      </c>
    </row>
    <row r="19" spans="1:9" ht="15.75" thickBot="1" x14ac:dyDescent="0.3">
      <c r="A19" s="6">
        <v>70</v>
      </c>
      <c r="B19" s="6">
        <v>-0.55052345745955034</v>
      </c>
      <c r="C19" s="6">
        <v>1.1830157368769696</v>
      </c>
      <c r="D19" s="6">
        <v>-0.46535598834286956</v>
      </c>
      <c r="E19" s="6">
        <v>0.65580717277888378</v>
      </c>
      <c r="F19" s="6">
        <v>-3.3479111588947417</v>
      </c>
      <c r="G19" s="6">
        <v>2.246864243975641</v>
      </c>
      <c r="H19" s="6">
        <v>-3.3479111588947417</v>
      </c>
      <c r="I19" s="6">
        <v>2.246864243975641</v>
      </c>
    </row>
    <row r="21" spans="1:9" x14ac:dyDescent="0.25">
      <c r="C21" t="s">
        <v>32</v>
      </c>
    </row>
    <row r="23" spans="1:9" x14ac:dyDescent="0.25">
      <c r="A23" t="s">
        <v>28</v>
      </c>
    </row>
    <row r="24" spans="1:9" ht="15.75" thickBot="1" x14ac:dyDescent="0.3"/>
    <row r="25" spans="1:9" x14ac:dyDescent="0.25">
      <c r="A25" s="7" t="s">
        <v>29</v>
      </c>
      <c r="B25" s="7" t="s">
        <v>30</v>
      </c>
      <c r="C25" s="7" t="s">
        <v>31</v>
      </c>
    </row>
    <row r="26" spans="1:9" x14ac:dyDescent="0.25">
      <c r="A26" s="5">
        <v>1</v>
      </c>
      <c r="B26" s="5">
        <v>290.59701798874909</v>
      </c>
      <c r="C26" s="5">
        <v>-190.59701798874909</v>
      </c>
    </row>
    <row r="27" spans="1:9" x14ac:dyDescent="0.25">
      <c r="A27" s="5">
        <v>2</v>
      </c>
      <c r="B27" s="5">
        <v>326.82675485390473</v>
      </c>
      <c r="C27" s="5">
        <v>-136.82675485390473</v>
      </c>
    </row>
    <row r="28" spans="1:9" x14ac:dyDescent="0.25">
      <c r="A28" s="5">
        <v>3</v>
      </c>
      <c r="B28" s="5">
        <v>350.06237366824257</v>
      </c>
      <c r="C28" s="5">
        <v>-60.062373668242572</v>
      </c>
    </row>
    <row r="29" spans="1:9" x14ac:dyDescent="0.25">
      <c r="A29" s="5">
        <v>4</v>
      </c>
      <c r="B29" s="5">
        <v>360.30387443176261</v>
      </c>
      <c r="C29" s="5">
        <v>29.696125568237392</v>
      </c>
    </row>
    <row r="30" spans="1:9" x14ac:dyDescent="0.25">
      <c r="A30" s="5">
        <v>5</v>
      </c>
      <c r="B30" s="5">
        <v>367.79275790798482</v>
      </c>
      <c r="C30" s="5">
        <v>122.20724209201518</v>
      </c>
    </row>
    <row r="31" spans="1:9" x14ac:dyDescent="0.25">
      <c r="A31" s="5">
        <v>6</v>
      </c>
      <c r="B31" s="5">
        <v>355.24435198745192</v>
      </c>
      <c r="C31" s="5">
        <v>234.75564801254808</v>
      </c>
    </row>
    <row r="32" spans="1:9" x14ac:dyDescent="0.25">
      <c r="A32" s="5">
        <v>7</v>
      </c>
      <c r="B32" s="5">
        <v>690.01554776603041</v>
      </c>
      <c r="C32" s="5">
        <v>-1.5547766030408638E-2</v>
      </c>
    </row>
    <row r="33" spans="1:3" x14ac:dyDescent="0.25">
      <c r="A33" s="5">
        <v>8</v>
      </c>
      <c r="B33" s="5">
        <v>764.90438252825334</v>
      </c>
      <c r="C33" s="5">
        <v>25.095617471746664</v>
      </c>
    </row>
    <row r="34" spans="1:3" x14ac:dyDescent="0.25">
      <c r="A34" s="5">
        <v>9</v>
      </c>
      <c r="B34" s="5">
        <v>839.79321729047592</v>
      </c>
      <c r="C34" s="5">
        <v>50.206782709524077</v>
      </c>
    </row>
    <row r="35" spans="1:3" ht="15.75" thickBot="1" x14ac:dyDescent="0.3">
      <c r="A35" s="6">
        <v>10</v>
      </c>
      <c r="B35" s="6">
        <v>1064.4597215771444</v>
      </c>
      <c r="C35" s="6">
        <v>-74.459721577144364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topLeftCell="A31" workbookViewId="0">
      <selection activeCell="H48" sqref="H48"/>
    </sheetView>
  </sheetViews>
  <sheetFormatPr defaultRowHeight="15" x14ac:dyDescent="0.25"/>
  <cols>
    <col min="5" max="5" width="10.42578125" customWidth="1"/>
    <col min="13" max="13" width="12.85546875" customWidth="1"/>
  </cols>
  <sheetData>
    <row r="1" spans="1:9" x14ac:dyDescent="0.25">
      <c r="A1" t="s">
        <v>4</v>
      </c>
    </row>
    <row r="2" spans="1:9" ht="15.75" thickBot="1" x14ac:dyDescent="0.3"/>
    <row r="3" spans="1:9" x14ac:dyDescent="0.25">
      <c r="A3" s="8" t="s">
        <v>5</v>
      </c>
      <c r="B3" s="8"/>
    </row>
    <row r="4" spans="1:9" x14ac:dyDescent="0.25">
      <c r="A4" s="5" t="s">
        <v>6</v>
      </c>
      <c r="B4" s="5">
        <v>0.91247221968611691</v>
      </c>
    </row>
    <row r="5" spans="1:9" x14ac:dyDescent="0.25">
      <c r="A5" s="5" t="s">
        <v>7</v>
      </c>
      <c r="B5" s="5">
        <v>0.83260555169890915</v>
      </c>
    </row>
    <row r="6" spans="1:9" x14ac:dyDescent="0.25">
      <c r="A6" s="5" t="s">
        <v>8</v>
      </c>
      <c r="B6" s="5">
        <v>0.79075693962363647</v>
      </c>
    </row>
    <row r="7" spans="1:9" x14ac:dyDescent="0.25">
      <c r="A7" s="5" t="s">
        <v>9</v>
      </c>
      <c r="B7" s="5">
        <v>144.72467081902099</v>
      </c>
    </row>
    <row r="8" spans="1:9" ht="15.75" thickBot="1" x14ac:dyDescent="0.3">
      <c r="A8" s="6" t="s">
        <v>10</v>
      </c>
      <c r="B8" s="6">
        <v>11</v>
      </c>
    </row>
    <row r="10" spans="1:9" ht="15.75" thickBot="1" x14ac:dyDescent="0.3">
      <c r="A10" t="s">
        <v>11</v>
      </c>
    </row>
    <row r="11" spans="1:9" x14ac:dyDescent="0.25">
      <c r="A11" s="7"/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1:9" x14ac:dyDescent="0.25">
      <c r="A12" s="5" t="s">
        <v>12</v>
      </c>
      <c r="B12" s="5">
        <v>2</v>
      </c>
      <c r="C12" s="5">
        <v>833438.15725060808</v>
      </c>
      <c r="D12" s="5">
        <v>416719.07862530404</v>
      </c>
      <c r="E12" s="5">
        <v>19.895655086513017</v>
      </c>
      <c r="F12" s="5">
        <v>7.8517091089874897E-4</v>
      </c>
    </row>
    <row r="13" spans="1:9" x14ac:dyDescent="0.25">
      <c r="A13" s="5" t="s">
        <v>13</v>
      </c>
      <c r="B13" s="5">
        <v>8</v>
      </c>
      <c r="C13" s="5">
        <v>167561.84274939186</v>
      </c>
      <c r="D13" s="5">
        <v>20945.230343673982</v>
      </c>
      <c r="E13" s="5"/>
      <c r="F13" s="5"/>
    </row>
    <row r="14" spans="1:9" ht="15.75" thickBot="1" x14ac:dyDescent="0.3">
      <c r="A14" s="6" t="s">
        <v>14</v>
      </c>
      <c r="B14" s="6">
        <v>10</v>
      </c>
      <c r="C14" s="6">
        <v>1001000</v>
      </c>
      <c r="D14" s="6"/>
      <c r="E14" s="6"/>
      <c r="F14" s="6"/>
    </row>
    <row r="15" spans="1:9" ht="15.75" thickBot="1" x14ac:dyDescent="0.3"/>
    <row r="16" spans="1:9" x14ac:dyDescent="0.25">
      <c r="A16" s="7"/>
      <c r="B16" s="7" t="s">
        <v>21</v>
      </c>
      <c r="C16" s="7" t="s">
        <v>9</v>
      </c>
      <c r="D16" s="7" t="s">
        <v>22</v>
      </c>
      <c r="E16" s="7" t="s">
        <v>23</v>
      </c>
      <c r="F16" s="7" t="s">
        <v>24</v>
      </c>
      <c r="G16" s="7" t="s">
        <v>25</v>
      </c>
      <c r="H16" s="7" t="s">
        <v>26</v>
      </c>
      <c r="I16" s="7" t="s">
        <v>27</v>
      </c>
    </row>
    <row r="17" spans="1:18" x14ac:dyDescent="0.25">
      <c r="A17" s="5" t="s">
        <v>15</v>
      </c>
      <c r="B17" s="5">
        <v>286.49432783718987</v>
      </c>
      <c r="C17" s="5">
        <v>76.571161358043241</v>
      </c>
      <c r="D17" s="5">
        <v>3.7415434578242261</v>
      </c>
      <c r="E17" s="5">
        <v>5.6927590160131157E-3</v>
      </c>
      <c r="F17" s="5">
        <v>109.92091310815664</v>
      </c>
      <c r="G17" s="5">
        <v>463.0677425662231</v>
      </c>
      <c r="H17" s="5">
        <v>109.92091310815664</v>
      </c>
      <c r="I17" s="5">
        <v>463.0677425662231</v>
      </c>
    </row>
    <row r="18" spans="1:18" x14ac:dyDescent="0.25">
      <c r="A18" s="5" t="s">
        <v>0</v>
      </c>
      <c r="B18" s="5">
        <v>1.5574125436554651</v>
      </c>
      <c r="C18" s="5">
        <v>0.88677718465108724</v>
      </c>
      <c r="D18" s="5">
        <v>1.7562614043439189</v>
      </c>
      <c r="E18" s="5">
        <v>0.11711152927233935</v>
      </c>
      <c r="F18" s="5">
        <v>-0.48749931115465128</v>
      </c>
      <c r="G18" s="5">
        <v>3.6023243984655817</v>
      </c>
      <c r="H18" s="5">
        <v>-0.48749931115465128</v>
      </c>
      <c r="I18" s="5">
        <v>3.6023243984655817</v>
      </c>
    </row>
    <row r="19" spans="1:18" ht="15.75" thickBot="1" x14ac:dyDescent="0.3">
      <c r="A19" s="6" t="s">
        <v>1</v>
      </c>
      <c r="B19" s="6">
        <v>-0.83184768882363702</v>
      </c>
      <c r="C19" s="6">
        <v>1.1947044057977505</v>
      </c>
      <c r="D19" s="6">
        <v>-0.69627908358484714</v>
      </c>
      <c r="E19" s="6">
        <v>0.50597637438020393</v>
      </c>
      <c r="F19" s="6">
        <v>-3.5868409889398869</v>
      </c>
      <c r="G19" s="6">
        <v>1.9231456112926129</v>
      </c>
      <c r="H19" s="6">
        <v>-3.5868409889398869</v>
      </c>
      <c r="I19" s="6">
        <v>1.9231456112926129</v>
      </c>
    </row>
    <row r="23" spans="1:18" x14ac:dyDescent="0.25">
      <c r="A23" t="s">
        <v>28</v>
      </c>
    </row>
    <row r="24" spans="1:18" ht="15.75" thickBot="1" x14ac:dyDescent="0.3"/>
    <row r="25" spans="1:18" x14ac:dyDescent="0.25">
      <c r="A25" s="7" t="s">
        <v>29</v>
      </c>
      <c r="B25" s="7" t="s">
        <v>33</v>
      </c>
      <c r="C25" s="7" t="s">
        <v>31</v>
      </c>
    </row>
    <row r="26" spans="1:18" x14ac:dyDescent="0.25">
      <c r="A26" s="5">
        <v>1</v>
      </c>
      <c r="B26" s="5">
        <v>243.83911505608992</v>
      </c>
      <c r="C26" s="5">
        <v>-153.83911505608992</v>
      </c>
      <c r="J26" t="s">
        <v>0</v>
      </c>
      <c r="K26">
        <v>60</v>
      </c>
      <c r="M26" s="9" t="s">
        <v>0</v>
      </c>
      <c r="N26" s="9">
        <v>100</v>
      </c>
      <c r="Q26" s="13" t="s">
        <v>35</v>
      </c>
      <c r="R26" s="13"/>
    </row>
    <row r="27" spans="1:18" x14ac:dyDescent="0.25">
      <c r="A27" s="5">
        <v>2</v>
      </c>
      <c r="B27" s="5">
        <v>255.25400204852639</v>
      </c>
      <c r="C27" s="5">
        <v>-155.25400204852639</v>
      </c>
      <c r="J27" t="s">
        <v>1</v>
      </c>
      <c r="K27">
        <v>2000</v>
      </c>
      <c r="M27" s="9" t="s">
        <v>1</v>
      </c>
      <c r="N27" s="9">
        <v>90</v>
      </c>
      <c r="Q27" s="12"/>
      <c r="R27" s="12"/>
    </row>
    <row r="28" spans="1:18" x14ac:dyDescent="0.25">
      <c r="A28" s="5">
        <v>3</v>
      </c>
      <c r="B28" s="5">
        <v>297.81713991407219</v>
      </c>
      <c r="C28" s="5">
        <v>-107.81713991407219</v>
      </c>
      <c r="J28" t="s">
        <v>2</v>
      </c>
      <c r="K28">
        <f>B18*K26+B19*K27+B17</f>
        <v>-1283.7562971907564</v>
      </c>
      <c r="M28" s="9" t="s">
        <v>2</v>
      </c>
      <c r="N28" s="9">
        <v>1000</v>
      </c>
      <c r="Q28" s="12" t="s">
        <v>2</v>
      </c>
      <c r="R28" s="12" t="s">
        <v>36</v>
      </c>
    </row>
    <row r="29" spans="1:18" x14ac:dyDescent="0.25">
      <c r="A29" s="5">
        <v>4</v>
      </c>
      <c r="B29" s="5">
        <v>324.80615234306327</v>
      </c>
      <c r="C29" s="5">
        <v>-34.806152343063275</v>
      </c>
      <c r="M29" s="9" t="s">
        <v>34</v>
      </c>
      <c r="N29" s="9">
        <v>8</v>
      </c>
      <c r="Q29" s="12" t="s">
        <v>0</v>
      </c>
      <c r="R29" s="12" t="s">
        <v>37</v>
      </c>
    </row>
    <row r="30" spans="1:18" x14ac:dyDescent="0.25">
      <c r="A30" s="5">
        <v>5</v>
      </c>
      <c r="B30" s="5">
        <v>336.22103933549977</v>
      </c>
      <c r="C30" s="5">
        <v>53.778960664500232</v>
      </c>
      <c r="M30" s="9" t="s">
        <v>35</v>
      </c>
      <c r="N30" s="9">
        <f>(N26-N29)*N28</f>
        <v>92000</v>
      </c>
    </row>
    <row r="31" spans="1:18" x14ac:dyDescent="0.25">
      <c r="A31" s="5">
        <v>6</v>
      </c>
      <c r="B31" s="5">
        <v>343.47668788381804</v>
      </c>
      <c r="C31" s="5">
        <v>146.52331211618196</v>
      </c>
    </row>
    <row r="32" spans="1:18" x14ac:dyDescent="0.25">
      <c r="A32" s="5">
        <v>7</v>
      </c>
      <c r="B32" s="5">
        <v>316.39560053927266</v>
      </c>
      <c r="C32" s="5">
        <v>273.60439946072734</v>
      </c>
      <c r="J32" s="12" t="s">
        <v>0</v>
      </c>
      <c r="K32" s="12">
        <v>100</v>
      </c>
      <c r="Q32" s="14" t="s">
        <v>2</v>
      </c>
      <c r="R32" s="14"/>
    </row>
    <row r="33" spans="1:18" x14ac:dyDescent="0.25">
      <c r="A33" s="5">
        <v>8</v>
      </c>
      <c r="B33" s="5">
        <v>700.43459475354859</v>
      </c>
      <c r="C33" s="5">
        <v>-10.434594753548595</v>
      </c>
      <c r="J33" s="12" t="s">
        <v>1</v>
      </c>
      <c r="K33" s="12">
        <v>90</v>
      </c>
      <c r="Q33" s="9" t="s">
        <v>2</v>
      </c>
      <c r="R33" s="9" t="s">
        <v>38</v>
      </c>
    </row>
    <row r="34" spans="1:18" x14ac:dyDescent="0.25">
      <c r="A34" s="5">
        <v>9</v>
      </c>
      <c r="B34" s="5">
        <v>772.99108023673136</v>
      </c>
      <c r="C34" s="5">
        <v>17.008919763268636</v>
      </c>
      <c r="J34" s="12" t="s">
        <v>2</v>
      </c>
      <c r="K34" s="12">
        <f>B18*K32+B19*K33+B17</f>
        <v>367.36929020860907</v>
      </c>
      <c r="Q34" s="9" t="s">
        <v>0</v>
      </c>
      <c r="R34" s="9" t="s">
        <v>37</v>
      </c>
    </row>
    <row r="35" spans="1:18" x14ac:dyDescent="0.25">
      <c r="A35" s="5">
        <v>10</v>
      </c>
      <c r="B35" s="5">
        <v>845.54756571991402</v>
      </c>
      <c r="C35" s="5">
        <v>44.452434280085981</v>
      </c>
      <c r="J35" s="12" t="s">
        <v>34</v>
      </c>
      <c r="K35" s="12">
        <v>8</v>
      </c>
    </row>
    <row r="36" spans="1:18" ht="15.75" thickBot="1" x14ac:dyDescent="0.3">
      <c r="A36" s="6">
        <v>11</v>
      </c>
      <c r="B36" s="6">
        <v>1063.2170221694628</v>
      </c>
      <c r="C36" s="6">
        <v>-73.21702216946278</v>
      </c>
      <c r="J36" s="12" t="s">
        <v>35</v>
      </c>
      <c r="K36" s="12">
        <f>(K32-K35)*K34</f>
        <v>33797.974699192033</v>
      </c>
    </row>
    <row r="40" spans="1:18" x14ac:dyDescent="0.25">
      <c r="B40" s="15"/>
      <c r="C40" s="15"/>
      <c r="D40" s="15"/>
    </row>
    <row r="41" spans="1:18" x14ac:dyDescent="0.25">
      <c r="A41" s="11"/>
      <c r="B41" s="11" t="s">
        <v>39</v>
      </c>
      <c r="C41" s="11" t="s">
        <v>40</v>
      </c>
      <c r="D41" s="11" t="s">
        <v>41</v>
      </c>
      <c r="E41" s="11" t="s">
        <v>42</v>
      </c>
    </row>
    <row r="42" spans="1:18" x14ac:dyDescent="0.25">
      <c r="B42" t="s">
        <v>43</v>
      </c>
      <c r="C42">
        <v>100</v>
      </c>
      <c r="D42">
        <v>22</v>
      </c>
      <c r="E42" s="10">
        <v>0.22</v>
      </c>
    </row>
    <row r="43" spans="1:18" x14ac:dyDescent="0.25">
      <c r="B43" t="s">
        <v>44</v>
      </c>
      <c r="C43">
        <v>100</v>
      </c>
      <c r="D43">
        <v>0</v>
      </c>
      <c r="E43" s="10">
        <v>0</v>
      </c>
    </row>
    <row r="44" spans="1:18" x14ac:dyDescent="0.25">
      <c r="B44" t="s">
        <v>45</v>
      </c>
      <c r="C44">
        <v>100</v>
      </c>
      <c r="D44">
        <v>0</v>
      </c>
      <c r="E44" s="10">
        <v>0</v>
      </c>
      <c r="G44" t="s">
        <v>50</v>
      </c>
    </row>
    <row r="45" spans="1:18" x14ac:dyDescent="0.25">
      <c r="B45" t="s">
        <v>46</v>
      </c>
      <c r="C45">
        <v>100</v>
      </c>
      <c r="D45">
        <v>23</v>
      </c>
      <c r="E45" s="10">
        <v>0.23</v>
      </c>
      <c r="G45" t="s">
        <v>51</v>
      </c>
      <c r="H45">
        <v>50</v>
      </c>
    </row>
    <row r="46" spans="1:18" x14ac:dyDescent="0.25">
      <c r="B46" t="s">
        <v>47</v>
      </c>
      <c r="C46">
        <v>100</v>
      </c>
      <c r="D46">
        <v>20</v>
      </c>
      <c r="E46" s="10">
        <v>0.2</v>
      </c>
      <c r="G46" t="s">
        <v>45</v>
      </c>
      <c r="H46">
        <v>45</v>
      </c>
    </row>
    <row r="47" spans="1:18" x14ac:dyDescent="0.25">
      <c r="B47" t="s">
        <v>48</v>
      </c>
      <c r="C47">
        <v>100</v>
      </c>
      <c r="D47">
        <v>27</v>
      </c>
      <c r="E47" s="10">
        <v>0.27</v>
      </c>
      <c r="G47" t="s">
        <v>42</v>
      </c>
      <c r="H47" s="10">
        <v>0.33</v>
      </c>
    </row>
    <row r="48" spans="1:18" x14ac:dyDescent="0.25">
      <c r="B48" t="s">
        <v>49</v>
      </c>
      <c r="C48">
        <v>100</v>
      </c>
      <c r="D48">
        <v>0</v>
      </c>
      <c r="E48" s="10">
        <v>0</v>
      </c>
    </row>
    <row r="49" spans="2:5" x14ac:dyDescent="0.25">
      <c r="B49" t="s">
        <v>14</v>
      </c>
      <c r="C49">
        <v>700</v>
      </c>
      <c r="D49">
        <v>92</v>
      </c>
      <c r="E49" s="10">
        <v>0.13</v>
      </c>
    </row>
  </sheetData>
  <mergeCells count="3">
    <mergeCell ref="Q26:R26"/>
    <mergeCell ref="Q32:R32"/>
    <mergeCell ref="B40:D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workbookViewId="0">
      <selection activeCell="N6" sqref="N6"/>
    </sheetView>
  </sheetViews>
  <sheetFormatPr defaultRowHeight="15" x14ac:dyDescent="0.25"/>
  <sheetData>
    <row r="2" spans="1:4" ht="15.75" x14ac:dyDescent="0.25">
      <c r="A2" s="1" t="s">
        <v>0</v>
      </c>
      <c r="B2" s="1" t="s">
        <v>1</v>
      </c>
      <c r="C2" s="1" t="s">
        <v>2</v>
      </c>
      <c r="D2" s="4" t="s">
        <v>3</v>
      </c>
    </row>
    <row r="3" spans="1:4" x14ac:dyDescent="0.25">
      <c r="A3" s="2">
        <v>10</v>
      </c>
      <c r="B3" s="2">
        <v>70</v>
      </c>
      <c r="C3" s="2">
        <v>90</v>
      </c>
      <c r="D3" s="3"/>
    </row>
    <row r="4" spans="1:4" x14ac:dyDescent="0.25">
      <c r="A4" s="2">
        <v>20</v>
      </c>
      <c r="B4" s="2">
        <v>75</v>
      </c>
      <c r="C4" s="2">
        <v>100</v>
      </c>
      <c r="D4" s="3"/>
    </row>
    <row r="5" spans="1:4" x14ac:dyDescent="0.25">
      <c r="A5" s="2">
        <v>50</v>
      </c>
      <c r="B5" s="2">
        <v>80</v>
      </c>
      <c r="C5" s="2">
        <v>190</v>
      </c>
      <c r="D5" s="3"/>
    </row>
    <row r="6" spans="1:4" x14ac:dyDescent="0.25">
      <c r="A6" s="2">
        <v>70</v>
      </c>
      <c r="B6" s="2">
        <v>85</v>
      </c>
      <c r="C6" s="2">
        <v>290</v>
      </c>
      <c r="D6" s="3"/>
    </row>
    <row r="7" spans="1:4" x14ac:dyDescent="0.25">
      <c r="A7" s="2">
        <v>80</v>
      </c>
      <c r="B7" s="2">
        <v>90</v>
      </c>
      <c r="C7" s="2">
        <v>390</v>
      </c>
      <c r="D7" s="3"/>
    </row>
    <row r="8" spans="1:4" x14ac:dyDescent="0.25">
      <c r="A8" s="2">
        <v>90</v>
      </c>
      <c r="B8" s="2">
        <v>100</v>
      </c>
      <c r="C8" s="2">
        <v>490</v>
      </c>
      <c r="D8" s="3"/>
    </row>
    <row r="9" spans="1:4" x14ac:dyDescent="0.25">
      <c r="A9" s="2">
        <v>110</v>
      </c>
      <c r="B9" s="2">
        <v>170</v>
      </c>
      <c r="C9" s="2">
        <v>590</v>
      </c>
      <c r="D9" s="3"/>
    </row>
    <row r="10" spans="1:4" x14ac:dyDescent="0.25">
      <c r="A10" s="2">
        <v>410</v>
      </c>
      <c r="B10" s="2">
        <v>270</v>
      </c>
      <c r="C10" s="2">
        <v>690</v>
      </c>
      <c r="D10" s="3"/>
    </row>
    <row r="11" spans="1:4" x14ac:dyDescent="0.25">
      <c r="A11" s="2">
        <v>510</v>
      </c>
      <c r="B11" s="2">
        <v>370</v>
      </c>
      <c r="C11" s="2">
        <v>790</v>
      </c>
      <c r="D11" s="3"/>
    </row>
    <row r="12" spans="1:4" x14ac:dyDescent="0.25">
      <c r="A12" s="2">
        <v>610</v>
      </c>
      <c r="B12" s="2">
        <v>470</v>
      </c>
      <c r="C12" s="2">
        <v>890</v>
      </c>
      <c r="D12" s="3"/>
    </row>
    <row r="13" spans="1:4" x14ac:dyDescent="0.25">
      <c r="A13" s="2">
        <v>910</v>
      </c>
      <c r="B13" s="2">
        <v>770</v>
      </c>
      <c r="C13" s="2">
        <v>990</v>
      </c>
      <c r="D1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2026-07-22T03:54:01Z</dcterms:created>
  <dcterms:modified xsi:type="dcterms:W3CDTF">2026-07-24T09:02:33Z</dcterms:modified>
</cp:coreProperties>
</file>