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545" activeTab="2"/>
  </bookViews>
  <sheets>
    <sheet name="Sheet1" sheetId="1" r:id="rId1"/>
    <sheet name="Sheet3" sheetId="3" r:id="rId2"/>
    <sheet name="Sheet2" sheetId="2" r:id="rId3"/>
  </sheets>
  <definedNames>
    <definedName name="solver_adj" localSheetId="0" hidden="1">Sheet1!$B$15:$B$16</definedName>
    <definedName name="solver_adj" localSheetId="2" hidden="1">Sheet2!$B$14:$B$15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Sheet1!$C$17</definedName>
    <definedName name="solver_lhs1" localSheetId="2" hidden="1">Sheet2!$C$16</definedName>
    <definedName name="solver_lhs2" localSheetId="0" hidden="1">Sheet1!$D$17</definedName>
    <definedName name="solver_lhs2" localSheetId="2" hidden="1">Sheet2!$D$16</definedName>
    <definedName name="solver_lhs3" localSheetId="0" hidden="1">Sheet1!$E$17</definedName>
    <definedName name="solver_lhs3" localSheetId="2" hidden="1">Sheet2!$E$16</definedName>
    <definedName name="solver_lhs4" localSheetId="0" hidden="1">Sheet1!$B$11</definedName>
    <definedName name="solver_lhs5" localSheetId="0" hidden="1">Sheet1!$B$9</definedName>
    <definedName name="solver_lhs6" localSheetId="0" hidden="1">Sheet1!$B$9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3</definedName>
    <definedName name="solver_num" localSheetId="2" hidden="1">3</definedName>
    <definedName name="solver_nwt" localSheetId="0" hidden="1">1</definedName>
    <definedName name="solver_nwt" localSheetId="2" hidden="1">1</definedName>
    <definedName name="solver_opt" localSheetId="0" hidden="1">Sheet1!$C$23</definedName>
    <definedName name="solver_opt" localSheetId="2" hidden="1">Sheet2!$C$22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1</definedName>
    <definedName name="solver_rel1" localSheetId="2" hidden="1">1</definedName>
    <definedName name="solver_rel2" localSheetId="0" hidden="1">1</definedName>
    <definedName name="solver_rel2" localSheetId="2" hidden="1">1</definedName>
    <definedName name="solver_rel3" localSheetId="0" hidden="1">1</definedName>
    <definedName name="solver_rel3" localSheetId="2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10000</definedName>
    <definedName name="solver_rhs1" localSheetId="2" hidden="1">15000</definedName>
    <definedName name="solver_rhs2" localSheetId="0" hidden="1">4000</definedName>
    <definedName name="solver_rhs2" localSheetId="2" hidden="1">5000</definedName>
    <definedName name="solver_rhs3" localSheetId="0" hidden="1">2500</definedName>
    <definedName name="solver_rhs3" localSheetId="2" hidden="1">2500</definedName>
    <definedName name="solver_rhs4" localSheetId="0" hidden="1">2500</definedName>
    <definedName name="solver_rhs5" localSheetId="0" hidden="1">10000</definedName>
    <definedName name="solver_rhs6" localSheetId="0" hidden="1">10000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1</definedName>
    <definedName name="solver_typ" localSheetId="2" hidden="1">3</definedName>
    <definedName name="solver_val" localSheetId="0" hidden="1">0</definedName>
    <definedName name="solver_val" localSheetId="2" hidden="1">7500</definedName>
    <definedName name="solver_ver" localSheetId="0" hidden="1">3</definedName>
    <definedName name="solver_ver" localSheetId="2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B21" i="2"/>
  <c r="C21" i="2" s="1"/>
  <c r="B20" i="2"/>
  <c r="C20" i="2" s="1"/>
  <c r="E15" i="2"/>
  <c r="D15" i="2"/>
  <c r="C15" i="2"/>
  <c r="E14" i="2"/>
  <c r="D14" i="2"/>
  <c r="C14" i="2"/>
  <c r="C22" i="2" l="1"/>
  <c r="D16" i="2"/>
  <c r="C16" i="2"/>
  <c r="E16" i="2"/>
  <c r="B22" i="1"/>
  <c r="C22" i="1" s="1"/>
  <c r="B21" i="1"/>
  <c r="C21" i="1" s="1"/>
  <c r="E16" i="1"/>
  <c r="E15" i="1"/>
  <c r="D16" i="1"/>
  <c r="D15" i="1"/>
  <c r="C16" i="1"/>
  <c r="C15" i="1"/>
  <c r="C17" i="1" l="1"/>
  <c r="E17" i="1"/>
  <c r="D17" i="1"/>
  <c r="C23" i="1"/>
</calcChain>
</file>

<file path=xl/sharedStrings.xml><?xml version="1.0" encoding="utf-8"?>
<sst xmlns="http://schemas.openxmlformats.org/spreadsheetml/2006/main" count="74" uniqueCount="23">
  <si>
    <t>Manufacturing Activity</t>
  </si>
  <si>
    <t>Quality Assurance</t>
  </si>
  <si>
    <t>Frame Fitting and Painting</t>
  </si>
  <si>
    <t>Assembly ( All parts)</t>
  </si>
  <si>
    <t>Time Available per Week</t>
  </si>
  <si>
    <t>KERK 501</t>
  </si>
  <si>
    <t>KERK 601</t>
  </si>
  <si>
    <t>Profit (USD Thousands)</t>
  </si>
  <si>
    <t>Production Quantity</t>
  </si>
  <si>
    <t xml:space="preserve">Assembly ( All parts) </t>
  </si>
  <si>
    <t>Activity time in Hours</t>
  </si>
  <si>
    <t>Total profit</t>
  </si>
  <si>
    <t>Quantity</t>
  </si>
  <si>
    <t>Total</t>
  </si>
  <si>
    <t>Car Model</t>
  </si>
  <si>
    <t>Define Objective Function (profit) and find the Optimal manufacturing quantities for car models to maximize the objective function?</t>
  </si>
  <si>
    <t>profit</t>
  </si>
  <si>
    <t>max</t>
  </si>
  <si>
    <t>quantity 501,601</t>
  </si>
  <si>
    <t>add</t>
  </si>
  <si>
    <t>assemle &lt;10000 frame &lt;4500 quantit&lt; 2500</t>
  </si>
  <si>
    <t>quantity</t>
  </si>
  <si>
    <t>assemle &lt;10000 frame &lt;4000 quantit&lt; 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</si>
</sst>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" fontId="1" fillId="4" borderId="0" xfId="0" applyNumberFormat="1" applyFont="1" applyFill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zoomScale="70" zoomScaleNormal="70" workbookViewId="0">
      <selection activeCell="I19" sqref="I19"/>
    </sheetView>
  </sheetViews>
  <sheetFormatPr defaultColWidth="9.140625" defaultRowHeight="15" x14ac:dyDescent="0.25"/>
  <cols>
    <col min="1" max="1" width="33.7109375" style="1" customWidth="1"/>
    <col min="2" max="2" width="30.28515625" style="1" customWidth="1"/>
    <col min="3" max="3" width="32" style="1" customWidth="1"/>
    <col min="4" max="4" width="28.85546875" style="1" customWidth="1"/>
    <col min="5" max="5" width="26.7109375" style="1" customWidth="1"/>
    <col min="6" max="6" width="9.140625" style="1"/>
    <col min="7" max="7" width="16.85546875" style="1" customWidth="1"/>
    <col min="8" max="8" width="30.28515625" style="1" customWidth="1"/>
    <col min="9" max="9" width="28.28515625" style="1" customWidth="1"/>
    <col min="10" max="16384" width="9.140625" style="1"/>
  </cols>
  <sheetData>
    <row r="2" spans="1:11" ht="18.75" x14ac:dyDescent="0.3">
      <c r="A2" s="10"/>
      <c r="B2" s="17" t="s">
        <v>10</v>
      </c>
      <c r="C2" s="17"/>
      <c r="D2" s="17"/>
    </row>
    <row r="3" spans="1:11" ht="18.75" x14ac:dyDescent="0.3">
      <c r="A3" s="11" t="s">
        <v>14</v>
      </c>
      <c r="B3" s="11" t="s">
        <v>9</v>
      </c>
      <c r="C3" s="11" t="s">
        <v>2</v>
      </c>
      <c r="D3" s="11" t="s">
        <v>1</v>
      </c>
    </row>
    <row r="4" spans="1:11" ht="18.75" x14ac:dyDescent="0.3">
      <c r="A4" s="6" t="s">
        <v>5</v>
      </c>
      <c r="B4" s="6">
        <v>8</v>
      </c>
      <c r="C4" s="6">
        <v>4</v>
      </c>
      <c r="D4" s="6">
        <v>2</v>
      </c>
    </row>
    <row r="5" spans="1:11" ht="18.75" x14ac:dyDescent="0.3">
      <c r="A5" s="6" t="s">
        <v>6</v>
      </c>
      <c r="B5" s="6">
        <v>10</v>
      </c>
      <c r="C5" s="6">
        <v>3</v>
      </c>
      <c r="D5" s="6">
        <v>1.6</v>
      </c>
    </row>
    <row r="8" spans="1:11" ht="21" x14ac:dyDescent="0.35">
      <c r="A8" s="4" t="s">
        <v>0</v>
      </c>
      <c r="B8" s="4" t="s">
        <v>4</v>
      </c>
      <c r="C8" s="5"/>
      <c r="D8" s="4" t="s">
        <v>14</v>
      </c>
      <c r="E8" s="4" t="s">
        <v>7</v>
      </c>
      <c r="H8" s="16" t="s">
        <v>16</v>
      </c>
      <c r="J8" s="1" t="s">
        <v>21</v>
      </c>
    </row>
    <row r="9" spans="1:11" ht="21" x14ac:dyDescent="0.35">
      <c r="A9" s="5" t="s">
        <v>3</v>
      </c>
      <c r="B9" s="5">
        <v>10800</v>
      </c>
      <c r="C9" s="5"/>
      <c r="D9" s="5" t="s">
        <v>5</v>
      </c>
      <c r="E9" s="5">
        <v>4.9000000000000004</v>
      </c>
      <c r="H9" s="16" t="s">
        <v>17</v>
      </c>
      <c r="J9" s="1">
        <v>0</v>
      </c>
      <c r="K9" s="1">
        <v>501</v>
      </c>
    </row>
    <row r="10" spans="1:11" ht="21" x14ac:dyDescent="0.35">
      <c r="A10" s="5" t="s">
        <v>2</v>
      </c>
      <c r="B10" s="5">
        <v>4500</v>
      </c>
      <c r="C10" s="5"/>
      <c r="D10" s="5" t="s">
        <v>6</v>
      </c>
      <c r="E10" s="5">
        <v>5.8</v>
      </c>
      <c r="H10" s="16" t="s">
        <v>18</v>
      </c>
      <c r="J10" s="1">
        <v>0</v>
      </c>
      <c r="K10" s="1">
        <v>601</v>
      </c>
    </row>
    <row r="11" spans="1:11" ht="21" x14ac:dyDescent="0.35">
      <c r="A11" s="5" t="s">
        <v>1</v>
      </c>
      <c r="B11" s="5">
        <v>2500</v>
      </c>
      <c r="C11" s="5"/>
      <c r="D11" s="5"/>
      <c r="E11" s="5"/>
      <c r="H11" s="16" t="s">
        <v>19</v>
      </c>
    </row>
    <row r="12" spans="1:11" ht="21" x14ac:dyDescent="0.35">
      <c r="A12" s="5"/>
      <c r="B12" s="5"/>
      <c r="C12" s="5"/>
      <c r="D12" s="5"/>
      <c r="E12" s="5"/>
      <c r="H12" s="16" t="s">
        <v>20</v>
      </c>
    </row>
    <row r="13" spans="1:11" ht="18.75" x14ac:dyDescent="0.3">
      <c r="A13" s="5"/>
      <c r="B13" s="5"/>
      <c r="C13" s="5"/>
      <c r="D13" s="5"/>
      <c r="E13" s="5"/>
    </row>
    <row r="14" spans="1:11" ht="18.75" x14ac:dyDescent="0.3">
      <c r="A14" s="4" t="s">
        <v>14</v>
      </c>
      <c r="B14" s="4" t="s">
        <v>12</v>
      </c>
      <c r="C14" s="4" t="s">
        <v>9</v>
      </c>
      <c r="D14" s="4" t="s">
        <v>2</v>
      </c>
      <c r="E14" s="4" t="s">
        <v>1</v>
      </c>
      <c r="H14" s="1">
        <f xml:space="preserve"> 5962</f>
        <v>5962</v>
      </c>
    </row>
    <row r="15" spans="1:11" ht="18.75" x14ac:dyDescent="0.3">
      <c r="A15" s="6" t="s">
        <v>5</v>
      </c>
      <c r="B15" s="3">
        <v>624.99999156740716</v>
      </c>
      <c r="C15" s="7">
        <f>B15*B4</f>
        <v>4999.9999325392573</v>
      </c>
      <c r="D15" s="7">
        <f>B15*C4</f>
        <v>2499.9999662696287</v>
      </c>
      <c r="E15" s="7">
        <f>B15*D4</f>
        <v>1249.9999831348143</v>
      </c>
    </row>
    <row r="16" spans="1:11" ht="18.75" x14ac:dyDescent="0.3">
      <c r="A16" s="6" t="s">
        <v>6</v>
      </c>
      <c r="B16" s="3">
        <v>500.00000674607412</v>
      </c>
      <c r="C16" s="7">
        <f>B16*B5</f>
        <v>5000.0000674607409</v>
      </c>
      <c r="D16" s="7">
        <f>B16*C5</f>
        <v>1500.0000202382223</v>
      </c>
      <c r="E16" s="7">
        <f>B16*D5</f>
        <v>800.00001079371862</v>
      </c>
    </row>
    <row r="17" spans="1:5" ht="18.75" x14ac:dyDescent="0.3">
      <c r="A17" s="5"/>
      <c r="B17" s="12" t="s">
        <v>13</v>
      </c>
      <c r="C17" s="13">
        <f>C15+C16</f>
        <v>9999.9999999999982</v>
      </c>
      <c r="D17" s="13">
        <f>D15+D16</f>
        <v>3999.9999865078507</v>
      </c>
      <c r="E17" s="13">
        <f>E15+E16</f>
        <v>2049.9999939285331</v>
      </c>
    </row>
    <row r="20" spans="1:5" ht="18.75" x14ac:dyDescent="0.3">
      <c r="A20" s="4" t="s">
        <v>14</v>
      </c>
      <c r="B20" s="4" t="s">
        <v>8</v>
      </c>
      <c r="C20" s="4" t="s">
        <v>7</v>
      </c>
    </row>
    <row r="21" spans="1:5" ht="18.75" x14ac:dyDescent="0.3">
      <c r="A21" s="5" t="s">
        <v>5</v>
      </c>
      <c r="B21" s="8">
        <f>B15</f>
        <v>624.99999156740716</v>
      </c>
      <c r="C21" s="8">
        <f>B21*E9</f>
        <v>3062.4999586802955</v>
      </c>
    </row>
    <row r="22" spans="1:5" ht="18.75" x14ac:dyDescent="0.3">
      <c r="A22" s="5" t="s">
        <v>6</v>
      </c>
      <c r="B22" s="8">
        <f>B16</f>
        <v>500.00000674607412</v>
      </c>
      <c r="C22" s="8">
        <f>B22*E10</f>
        <v>2900.0000391272297</v>
      </c>
    </row>
    <row r="23" spans="1:5" ht="18.75" x14ac:dyDescent="0.3">
      <c r="A23" s="5"/>
      <c r="B23" s="9" t="s">
        <v>11</v>
      </c>
      <c r="C23" s="2">
        <f>C21+C22</f>
        <v>5962.4999978075248</v>
      </c>
    </row>
    <row r="24" spans="1:5" ht="18.75" x14ac:dyDescent="0.3">
      <c r="A24" s="5"/>
      <c r="B24" s="5"/>
      <c r="C24" s="5"/>
    </row>
    <row r="25" spans="1:5" ht="18.75" x14ac:dyDescent="0.3">
      <c r="A25" s="5"/>
      <c r="B25" s="5"/>
      <c r="C25" s="5"/>
    </row>
    <row r="26" spans="1:5" ht="18.75" x14ac:dyDescent="0.3">
      <c r="C26" s="5"/>
    </row>
    <row r="27" spans="1:5" ht="18.75" x14ac:dyDescent="0.3">
      <c r="C27" s="5"/>
    </row>
    <row r="28" spans="1:5" ht="18.75" x14ac:dyDescent="0.3">
      <c r="C28" s="5"/>
    </row>
    <row r="29" spans="1:5" ht="18.75" x14ac:dyDescent="0.3">
      <c r="A29" s="5"/>
      <c r="B29" s="5"/>
      <c r="C29" s="5"/>
    </row>
    <row r="31" spans="1:5" x14ac:dyDescent="0.25">
      <c r="A31" s="14" t="s">
        <v>15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zoomScale="70" zoomScaleNormal="70" workbookViewId="0">
      <selection activeCell="Q13" sqref="Q13"/>
    </sheetView>
  </sheetViews>
  <sheetFormatPr defaultRowHeight="15" x14ac:dyDescent="0.25"/>
  <cols>
    <col min="1" max="1" width="22.5703125" customWidth="1"/>
    <col min="2" max="2" width="28.42578125" customWidth="1"/>
    <col min="3" max="3" width="22.85546875" customWidth="1"/>
    <col min="4" max="4" width="25" customWidth="1"/>
    <col min="5" max="5" width="21.42578125" customWidth="1"/>
  </cols>
  <sheetData>
    <row r="1" spans="1:17" ht="18.75" x14ac:dyDescent="0.3">
      <c r="A1" s="15"/>
      <c r="B1" s="17" t="s">
        <v>10</v>
      </c>
      <c r="C1" s="17"/>
      <c r="D1" s="17"/>
      <c r="E1" s="1"/>
    </row>
    <row r="2" spans="1:17" ht="18.75" x14ac:dyDescent="0.3">
      <c r="A2" s="11" t="s">
        <v>14</v>
      </c>
      <c r="B2" s="11" t="s">
        <v>9</v>
      </c>
      <c r="C2" s="11" t="s">
        <v>2</v>
      </c>
      <c r="D2" s="11" t="s">
        <v>1</v>
      </c>
      <c r="E2" s="1"/>
    </row>
    <row r="3" spans="1:17" ht="18.75" x14ac:dyDescent="0.3">
      <c r="A3" s="6" t="s">
        <v>5</v>
      </c>
      <c r="B3" s="6">
        <v>8</v>
      </c>
      <c r="C3" s="6">
        <v>4</v>
      </c>
      <c r="D3" s="6">
        <v>2</v>
      </c>
      <c r="E3" s="1"/>
    </row>
    <row r="4" spans="1:17" ht="18.75" x14ac:dyDescent="0.3">
      <c r="A4" s="6" t="s">
        <v>6</v>
      </c>
      <c r="B4" s="6">
        <v>10</v>
      </c>
      <c r="C4" s="6">
        <v>3</v>
      </c>
      <c r="D4" s="6">
        <v>1.6</v>
      </c>
      <c r="E4" s="1"/>
    </row>
    <row r="5" spans="1:17" x14ac:dyDescent="0.25">
      <c r="A5" s="1"/>
      <c r="B5" s="1"/>
      <c r="C5" s="1"/>
      <c r="D5" s="1"/>
      <c r="E5" s="1"/>
    </row>
    <row r="6" spans="1:17" x14ac:dyDescent="0.25">
      <c r="A6" s="1"/>
      <c r="B6" s="1"/>
      <c r="C6" s="1"/>
      <c r="D6" s="1"/>
      <c r="E6" s="1"/>
    </row>
    <row r="7" spans="1:17" ht="18.75" x14ac:dyDescent="0.3">
      <c r="A7" s="4" t="s">
        <v>0</v>
      </c>
      <c r="B7" s="4" t="s">
        <v>4</v>
      </c>
      <c r="C7" s="5"/>
      <c r="D7" s="4" t="s">
        <v>14</v>
      </c>
      <c r="E7" s="4" t="s">
        <v>7</v>
      </c>
    </row>
    <row r="8" spans="1:17" ht="21" x14ac:dyDescent="0.35">
      <c r="A8" s="5" t="s">
        <v>3</v>
      </c>
      <c r="B8" s="5">
        <v>10800</v>
      </c>
      <c r="C8" s="5"/>
      <c r="D8" s="5" t="s">
        <v>5</v>
      </c>
      <c r="E8" s="5">
        <v>4.9000000000000004</v>
      </c>
      <c r="I8" s="1"/>
      <c r="J8" s="16" t="s">
        <v>16</v>
      </c>
      <c r="K8" s="1"/>
      <c r="O8" t="s">
        <v>21</v>
      </c>
    </row>
    <row r="9" spans="1:17" ht="21" x14ac:dyDescent="0.35">
      <c r="A9" s="5" t="s">
        <v>2</v>
      </c>
      <c r="B9" s="5">
        <v>4500</v>
      </c>
      <c r="C9" s="5"/>
      <c r="D9" s="5" t="s">
        <v>6</v>
      </c>
      <c r="E9" s="5">
        <v>5.8</v>
      </c>
      <c r="I9" s="1"/>
      <c r="J9" s="16" t="s">
        <v>17</v>
      </c>
      <c r="K9" s="1"/>
      <c r="O9">
        <v>5</v>
      </c>
    </row>
    <row r="10" spans="1:17" ht="21" x14ac:dyDescent="0.35">
      <c r="A10" s="5" t="s">
        <v>1</v>
      </c>
      <c r="B10" s="5">
        <v>2500</v>
      </c>
      <c r="C10" s="5"/>
      <c r="D10" s="5"/>
      <c r="E10" s="5"/>
      <c r="I10" s="1"/>
      <c r="J10" s="16" t="s">
        <v>18</v>
      </c>
      <c r="K10" s="1"/>
      <c r="O10">
        <v>5</v>
      </c>
    </row>
    <row r="11" spans="1:17" ht="21" x14ac:dyDescent="0.35">
      <c r="A11" s="5"/>
      <c r="B11" s="5"/>
      <c r="C11" s="5"/>
      <c r="D11" s="5"/>
      <c r="E11" s="5"/>
      <c r="I11" s="1"/>
      <c r="J11" s="16" t="s">
        <v>19</v>
      </c>
      <c r="K11" s="1"/>
    </row>
    <row r="12" spans="1:17" ht="21" x14ac:dyDescent="0.35">
      <c r="A12" s="5"/>
      <c r="B12" s="5"/>
      <c r="C12" s="5"/>
      <c r="D12" s="5"/>
      <c r="E12" s="5"/>
      <c r="G12" s="18" t="s">
        <v>22</v>
      </c>
      <c r="H12" s="18"/>
      <c r="I12" s="18"/>
      <c r="J12" s="18"/>
      <c r="K12" s="18"/>
      <c r="L12" s="18"/>
      <c r="M12" s="18"/>
    </row>
    <row r="13" spans="1:17" ht="18.75" x14ac:dyDescent="0.3">
      <c r="A13" s="4" t="s">
        <v>14</v>
      </c>
      <c r="B13" s="4" t="s">
        <v>12</v>
      </c>
      <c r="C13" s="4" t="s">
        <v>9</v>
      </c>
      <c r="D13" s="4" t="s">
        <v>2</v>
      </c>
      <c r="E13" s="4" t="s">
        <v>1</v>
      </c>
      <c r="P13" t="s">
        <v>16</v>
      </c>
      <c r="Q13">
        <v>7500</v>
      </c>
    </row>
    <row r="14" spans="1:17" ht="18.75" x14ac:dyDescent="0.3">
      <c r="A14" s="6" t="s">
        <v>5</v>
      </c>
      <c r="B14" s="3">
        <v>637.92019943924436</v>
      </c>
      <c r="C14" s="7">
        <f>B14*B3</f>
        <v>5103.3615955139549</v>
      </c>
      <c r="D14" s="7">
        <f>B14*C3</f>
        <v>2551.6807977569774</v>
      </c>
      <c r="E14" s="7">
        <f>B14*D3</f>
        <v>1275.8403988784887</v>
      </c>
    </row>
    <row r="15" spans="1:17" ht="18.75" x14ac:dyDescent="0.3">
      <c r="A15" s="6" t="s">
        <v>6</v>
      </c>
      <c r="B15" s="3">
        <v>754.17087521512121</v>
      </c>
      <c r="C15" s="7">
        <f>B15*B4</f>
        <v>7541.7087521512121</v>
      </c>
      <c r="D15" s="7">
        <f>B15*C4</f>
        <v>2262.5126256453636</v>
      </c>
      <c r="E15" s="7">
        <f>B15*D4</f>
        <v>1206.6734003441941</v>
      </c>
    </row>
    <row r="16" spans="1:17" ht="18.75" x14ac:dyDescent="0.3">
      <c r="A16" s="5"/>
      <c r="B16" s="12" t="s">
        <v>13</v>
      </c>
      <c r="C16" s="13">
        <f>C14+C15</f>
        <v>12645.070347665167</v>
      </c>
      <c r="D16" s="13">
        <f>D14+D15</f>
        <v>4814.1934234023411</v>
      </c>
      <c r="E16" s="13">
        <f>E14+E15</f>
        <v>2482.5137992226828</v>
      </c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ht="18.75" x14ac:dyDescent="0.3">
      <c r="A19" s="4" t="s">
        <v>14</v>
      </c>
      <c r="B19" s="4" t="s">
        <v>8</v>
      </c>
      <c r="C19" s="4" t="s">
        <v>7</v>
      </c>
      <c r="D19" s="1"/>
      <c r="E19" s="1"/>
    </row>
    <row r="20" spans="1:5" ht="18.75" x14ac:dyDescent="0.3">
      <c r="A20" s="5" t="s">
        <v>5</v>
      </c>
      <c r="B20" s="8">
        <f>B14</f>
        <v>637.92019943924436</v>
      </c>
      <c r="C20" s="8">
        <f>B20*E8</f>
        <v>3125.8089772522976</v>
      </c>
      <c r="D20" s="1"/>
      <c r="E20" s="1"/>
    </row>
    <row r="21" spans="1:5" ht="18.75" x14ac:dyDescent="0.3">
      <c r="A21" s="5" t="s">
        <v>6</v>
      </c>
      <c r="B21" s="8">
        <f>B15</f>
        <v>754.17087521512121</v>
      </c>
      <c r="C21" s="8">
        <f>B21*E9</f>
        <v>4374.1910762477028</v>
      </c>
      <c r="D21" s="1"/>
      <c r="E21" s="1"/>
    </row>
    <row r="22" spans="1:5" ht="18.75" x14ac:dyDescent="0.3">
      <c r="A22" s="5"/>
      <c r="B22" s="9" t="s">
        <v>11</v>
      </c>
      <c r="C22" s="2">
        <f>C20+C21</f>
        <v>7500.0000534999999</v>
      </c>
      <c r="D22" s="1"/>
      <c r="E22" s="1"/>
    </row>
  </sheetData>
  <mergeCells count="2">
    <mergeCell ref="B1:D1"/>
    <mergeCell ref="G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2020-03-20T13:01:58Z</dcterms:created>
  <dcterms:modified xsi:type="dcterms:W3CDTF">2026-07-24T09:08:23Z</dcterms:modified>
</cp:coreProperties>
</file>